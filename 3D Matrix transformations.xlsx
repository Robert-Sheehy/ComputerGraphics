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MS0036625\Desktop\CG25\"/>
    </mc:Choice>
  </mc:AlternateContent>
  <xr:revisionPtr revIDLastSave="0" documentId="13_ncr:1_{A927413A-3E4E-4CDC-A93F-7A02646D98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H24" i="1"/>
  <c r="I24" i="1"/>
  <c r="J24" i="1"/>
  <c r="H25" i="1"/>
  <c r="I25" i="1"/>
  <c r="J25" i="1"/>
  <c r="H26" i="1"/>
  <c r="I26" i="1"/>
  <c r="J26" i="1"/>
  <c r="K26" i="1"/>
  <c r="I23" i="1"/>
  <c r="J23" i="1"/>
  <c r="H23" i="1"/>
  <c r="E19" i="1"/>
  <c r="E18" i="1"/>
  <c r="E17" i="1"/>
  <c r="M19" i="1"/>
  <c r="K25" i="1" s="1"/>
  <c r="M18" i="1"/>
  <c r="K24" i="1" s="1"/>
  <c r="M17" i="1"/>
  <c r="K23" i="1" s="1"/>
  <c r="I17" i="1"/>
  <c r="I18" i="1"/>
  <c r="I19" i="1"/>
  <c r="G20" i="1"/>
  <c r="H20" i="1"/>
  <c r="I20" i="1"/>
  <c r="F20" i="1"/>
  <c r="F3" i="1"/>
  <c r="B4" i="1" l="1"/>
  <c r="B8" i="1" s="1"/>
  <c r="C4" i="1"/>
  <c r="C9" i="1" s="1"/>
  <c r="G18" i="1" s="1"/>
  <c r="D4" i="1"/>
  <c r="D10" i="1" s="1"/>
  <c r="H19" i="1" s="1"/>
  <c r="D8" i="1" l="1"/>
  <c r="H17" i="1" s="1"/>
  <c r="C8" i="1"/>
  <c r="G17" i="1" s="1"/>
  <c r="D9" i="1"/>
  <c r="H18" i="1" s="1"/>
  <c r="B9" i="1"/>
  <c r="F18" i="1" s="1"/>
  <c r="C10" i="1"/>
  <c r="G19" i="1" s="1"/>
  <c r="B10" i="1"/>
  <c r="F19" i="1" s="1"/>
  <c r="F4" i="1"/>
  <c r="F17" i="1"/>
  <c r="D23" i="1" l="1" a="1"/>
  <c r="D24" i="1" l="1"/>
  <c r="G26" i="1"/>
  <c r="D25" i="1"/>
  <c r="F26" i="1"/>
  <c r="G24" i="1"/>
  <c r="E26" i="1"/>
  <c r="F24" i="1"/>
  <c r="E23" i="1"/>
  <c r="D26" i="1"/>
  <c r="E24" i="1"/>
  <c r="G23" i="1"/>
  <c r="F23" i="1"/>
  <c r="D23" i="1"/>
  <c r="G25" i="1"/>
  <c r="E25" i="1"/>
  <c r="F25" i="1"/>
  <c r="F28" i="1" l="1" a="1"/>
  <c r="F28" i="1" l="1"/>
  <c r="I29" i="1"/>
  <c r="H29" i="1"/>
  <c r="G29" i="1"/>
  <c r="H28" i="1"/>
  <c r="G31" i="1"/>
  <c r="G28" i="1"/>
  <c r="I30" i="1"/>
  <c r="F29" i="1"/>
  <c r="I28" i="1"/>
  <c r="I31" i="1"/>
  <c r="F31" i="1"/>
  <c r="H31" i="1"/>
  <c r="G30" i="1"/>
  <c r="F30" i="1"/>
  <c r="H30" i="1"/>
  <c r="F40" i="1" l="1" a="1"/>
  <c r="C40" i="1" a="1"/>
  <c r="E40" i="1" a="1"/>
  <c r="D40" i="1" a="1"/>
  <c r="B40" i="1" a="1"/>
  <c r="D43" i="1" l="1"/>
  <c r="D40" i="1"/>
  <c r="D41" i="1"/>
  <c r="D42" i="1"/>
  <c r="C40" i="1"/>
  <c r="C41" i="1"/>
  <c r="C42" i="1"/>
  <c r="C43" i="1"/>
  <c r="F40" i="1"/>
  <c r="F43" i="1"/>
  <c r="F41" i="1"/>
  <c r="F42" i="1"/>
  <c r="E41" i="1"/>
  <c r="E42" i="1"/>
  <c r="E40" i="1"/>
  <c r="E43" i="1"/>
  <c r="B40" i="1"/>
  <c r="B41" i="1"/>
  <c r="B43" i="1"/>
  <c r="B42" i="1"/>
  <c r="B45" i="1" l="1" a="1"/>
  <c r="B45" i="1" l="1"/>
  <c r="C45" i="1"/>
  <c r="C48" i="1"/>
  <c r="C46" i="1"/>
  <c r="C47" i="1"/>
  <c r="D49" i="1"/>
  <c r="D48" i="1"/>
  <c r="B49" i="1"/>
  <c r="B48" i="1"/>
  <c r="D47" i="1"/>
  <c r="B47" i="1"/>
  <c r="D46" i="1"/>
  <c r="B46" i="1"/>
  <c r="D45" i="1"/>
  <c r="C49" i="1"/>
  <c r="G49" i="1" l="1"/>
  <c r="G48" i="1"/>
  <c r="G46" i="1"/>
  <c r="G45" i="1"/>
  <c r="G47" i="1"/>
  <c r="F47" i="1"/>
  <c r="F49" i="1"/>
  <c r="F48" i="1"/>
  <c r="F46" i="1"/>
  <c r="F45" i="1"/>
</calcChain>
</file>

<file path=xl/sharedStrings.xml><?xml version="1.0" encoding="utf-8"?>
<sst xmlns="http://schemas.openxmlformats.org/spreadsheetml/2006/main" count="20" uniqueCount="14">
  <si>
    <t>Angle (degrees)</t>
  </si>
  <si>
    <t>x</t>
  </si>
  <si>
    <t>y</t>
  </si>
  <si>
    <t>z</t>
  </si>
  <si>
    <t>Axis (Raw Non Normalised)</t>
  </si>
  <si>
    <t>Axis (Normalised)</t>
  </si>
  <si>
    <t>Rotational Matrix</t>
  </si>
  <si>
    <t>=</t>
  </si>
  <si>
    <t>rads</t>
  </si>
  <si>
    <t>Center of Rotation</t>
  </si>
  <si>
    <t>Step 3</t>
  </si>
  <si>
    <t>Step 2</t>
  </si>
  <si>
    <t>Step 1</t>
  </si>
  <si>
    <t>Points to transform as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</si>
</sst>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quotePrefix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6678263342082240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Sheet1!$F$45:$F$59</c:f>
              <c:numCache>
                <c:formatCode>General</c:formatCode>
                <c:ptCount val="15"/>
                <c:pt idx="0">
                  <c:v>-162.05282310692752</c:v>
                </c:pt>
                <c:pt idx="1">
                  <c:v>1.0123407031965235</c:v>
                </c:pt>
                <c:pt idx="2">
                  <c:v>-0.96342366258080214</c:v>
                </c:pt>
                <c:pt idx="3">
                  <c:v>1.0374905145595645</c:v>
                </c:pt>
                <c:pt idx="4">
                  <c:v>-0.98765927360317796</c:v>
                </c:pt>
              </c:numCache>
            </c:numRef>
          </c:xVal>
          <c:yVal>
            <c:numRef>
              <c:f>Sheet1!$G$45:$G$59</c:f>
              <c:numCache>
                <c:formatCode>General</c:formatCode>
                <c:ptCount val="15"/>
                <c:pt idx="0">
                  <c:v>13130.558738459951</c:v>
                </c:pt>
                <c:pt idx="1">
                  <c:v>1.024989822151219</c:v>
                </c:pt>
                <c:pt idx="2">
                  <c:v>-1.0000000000000002</c:v>
                </c:pt>
                <c:pt idx="3">
                  <c:v>-1</c:v>
                </c:pt>
                <c:pt idx="4">
                  <c:v>0.97561944361674624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AB-4F01-82FB-2022E8DE0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5316511"/>
        <c:axId val="507610271"/>
      </c:scatterChart>
      <c:valAx>
        <c:axId val="755316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610271"/>
        <c:crosses val="autoZero"/>
        <c:crossBetween val="midCat"/>
      </c:valAx>
      <c:valAx>
        <c:axId val="50761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316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Sheet1!$F$45:$F$49</c:f>
              <c:numCache>
                <c:formatCode>General</c:formatCode>
                <c:ptCount val="5"/>
                <c:pt idx="0">
                  <c:v>-162.05282310692752</c:v>
                </c:pt>
                <c:pt idx="1">
                  <c:v>1.0123407031965235</c:v>
                </c:pt>
                <c:pt idx="2">
                  <c:v>-0.96342366258080214</c:v>
                </c:pt>
                <c:pt idx="3">
                  <c:v>1.0374905145595645</c:v>
                </c:pt>
                <c:pt idx="4">
                  <c:v>-0.98765927360317796</c:v>
                </c:pt>
              </c:numCache>
            </c:numRef>
          </c:xVal>
          <c:yVal>
            <c:numRef>
              <c:f>Sheet1!$G$45:$G$49</c:f>
              <c:numCache>
                <c:formatCode>General</c:formatCode>
                <c:ptCount val="5"/>
                <c:pt idx="0">
                  <c:v>13130.558738459951</c:v>
                </c:pt>
                <c:pt idx="1">
                  <c:v>1.024989822151219</c:v>
                </c:pt>
                <c:pt idx="2">
                  <c:v>-1.0000000000000002</c:v>
                </c:pt>
                <c:pt idx="3">
                  <c:v>-1</c:v>
                </c:pt>
                <c:pt idx="4">
                  <c:v>0.97561944361674624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42-4A1D-B778-2184CE715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1982960"/>
        <c:axId val="471983440"/>
      </c:scatterChart>
      <c:valAx>
        <c:axId val="471982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983440"/>
        <c:crosses val="autoZero"/>
        <c:crossBetween val="midCat"/>
      </c:valAx>
      <c:valAx>
        <c:axId val="47198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982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53340</xdr:colOff>
      <xdr:row>2</xdr:row>
      <xdr:rowOff>68580</xdr:rowOff>
    </xdr:from>
    <xdr:to>
      <xdr:col>18</xdr:col>
      <xdr:colOff>231596</xdr:colOff>
      <xdr:row>8</xdr:row>
      <xdr:rowOff>87782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C64381-8B59-4177-9C8D-69C96F28B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42660" y="419100"/>
          <a:ext cx="7821116" cy="1086002"/>
        </a:xfrm>
        <a:prstGeom prst="rect">
          <a:avLst/>
        </a:prstGeom>
      </xdr:spPr>
    </xdr:pic>
    <xdr:clientData/>
  </xdr:twoCellAnchor>
  <xdr:twoCellAnchor>
    <xdr:from>
      <xdr:col>17</xdr:col>
      <xdr:colOff>144780</xdr:colOff>
      <xdr:row>11</xdr:row>
      <xdr:rowOff>35379</xdr:rowOff>
    </xdr:from>
    <xdr:to>
      <xdr:col>23</xdr:col>
      <xdr:colOff>580753</xdr:colOff>
      <xdr:row>26</xdr:row>
      <xdr:rowOff>96338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98758B-C8EF-4F4D-B76B-539170B1A8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488674</xdr:colOff>
      <xdr:row>34</xdr:row>
      <xdr:rowOff>44726</xdr:rowOff>
    </xdr:from>
    <xdr:to>
      <xdr:col>15</xdr:col>
      <xdr:colOff>82826</xdr:colOff>
      <xdr:row>48</xdr:row>
      <xdr:rowOff>120926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5F21D2-39E8-B2F0-AFBC-3E4861FB5D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"/>
  <sheetViews>
    <sheetView tabSelected="1" topLeftCell="A7" zoomScale="115" zoomScaleNormal="115" workbookViewId="0">
      <selection activeCell="J15" sqref="J15"/>
    </sheetView>
  </sheetViews>
  <sheetFormatPr defaultRowHeight="15" x14ac:dyDescent="0.25"/>
  <cols>
    <col min="1" max="1" width="23" bestFit="1" customWidth="1"/>
    <col min="2" max="2" width="11.42578125" style="1" customWidth="1"/>
    <col min="3" max="5" width="8.85546875" style="1"/>
    <col min="6" max="7" width="8.85546875" style="1" bestFit="1" customWidth="1"/>
    <col min="8" max="8" width="12.140625" bestFit="1" customWidth="1"/>
    <col min="9" max="9" width="8.85546875" bestFit="1" customWidth="1"/>
    <col min="10" max="13" width="8.85546875" style="1"/>
  </cols>
  <sheetData>
    <row r="1" spans="1:13" x14ac:dyDescent="0.25">
      <c r="A1" t="s">
        <v>0</v>
      </c>
      <c r="B1" s="12">
        <v>1</v>
      </c>
      <c r="C1" s="5" t="s">
        <v>7</v>
      </c>
      <c r="D1" s="1">
        <f>RADIANS(B1)</f>
        <v>1.7453292519943295E-2</v>
      </c>
      <c r="E1" s="1" t="s">
        <v>8</v>
      </c>
    </row>
    <row r="2" spans="1:13" s="1" customFormat="1" x14ac:dyDescent="0.25">
      <c r="B2" s="1" t="s">
        <v>1</v>
      </c>
      <c r="C2" s="1" t="s">
        <v>2</v>
      </c>
      <c r="D2" s="1" t="s">
        <v>3</v>
      </c>
    </row>
    <row r="3" spans="1:13" x14ac:dyDescent="0.25">
      <c r="A3" t="s">
        <v>4</v>
      </c>
      <c r="B3" s="12">
        <v>0</v>
      </c>
      <c r="C3" s="12">
        <v>1</v>
      </c>
      <c r="D3" s="12">
        <v>1</v>
      </c>
      <c r="F3" s="1">
        <f>SQRT(B3*B3+C3*C3+D3*D3)</f>
        <v>1.4142135623730951</v>
      </c>
    </row>
    <row r="4" spans="1:13" x14ac:dyDescent="0.25">
      <c r="A4" t="s">
        <v>5</v>
      </c>
      <c r="B4" s="1">
        <f>B3/$F$3</f>
        <v>0</v>
      </c>
      <c r="C4" s="1">
        <f t="shared" ref="C4:D4" si="0">C3/$F$3</f>
        <v>0.70710678118654746</v>
      </c>
      <c r="D4" s="1">
        <f t="shared" si="0"/>
        <v>0.70710678118654746</v>
      </c>
      <c r="F4" s="1">
        <f>SQRT(B4*B4+C4*C4+D4*D4)</f>
        <v>0.99999999999999989</v>
      </c>
    </row>
    <row r="7" spans="1:13" ht="15.75" thickBot="1" x14ac:dyDescent="0.3"/>
    <row r="8" spans="1:13" ht="15.75" thickTop="1" x14ac:dyDescent="0.25">
      <c r="A8" t="s">
        <v>6</v>
      </c>
      <c r="B8" s="6">
        <f>COS(D1)+B4*B4*(1-COS(D1))</f>
        <v>0.99984769515639127</v>
      </c>
      <c r="C8" s="1">
        <f>B4*C4*(1-COS(D1))-D4*SIN(D1)</f>
        <v>-1.2340714939826924E-2</v>
      </c>
      <c r="D8" s="1">
        <f>B4*D4*(1-COS(D1)) + C4*SIN(D1)</f>
        <v>1.2340714939826924E-2</v>
      </c>
      <c r="E8" s="7">
        <v>0</v>
      </c>
    </row>
    <row r="9" spans="1:13" x14ac:dyDescent="0.25">
      <c r="B9" s="8">
        <f>C4*B4*(1-COS(D1)) + D4*SIN(D1)</f>
        <v>1.2340714939826924E-2</v>
      </c>
      <c r="C9" s="1">
        <f>COS(D1)+C4*C4*(1-COS(D1))</f>
        <v>0.99992384757819563</v>
      </c>
      <c r="D9" s="1">
        <f>C4*D4*(1-COS(D1))-B4*SIN(D1)</f>
        <v>7.6152421804365198E-5</v>
      </c>
      <c r="E9" s="9">
        <v>0</v>
      </c>
    </row>
    <row r="10" spans="1:13" x14ac:dyDescent="0.25">
      <c r="B10" s="8">
        <f>D4*B4*(1-COS(D1))-C4*SIN(D1)</f>
        <v>-1.2340714939826924E-2</v>
      </c>
      <c r="C10" s="1">
        <f>D4*C4*(1-COS(D1))+B4*SIN(D1)</f>
        <v>7.6152421804365198E-5</v>
      </c>
      <c r="D10" s="1">
        <f>COS(D1)+D4*D4*(1-COS(D1))</f>
        <v>0.99992384757819563</v>
      </c>
      <c r="E10" s="9">
        <v>0</v>
      </c>
    </row>
    <row r="11" spans="1:13" ht="15.75" thickBot="1" x14ac:dyDescent="0.3">
      <c r="B11" s="10">
        <v>0</v>
      </c>
      <c r="C11" s="1">
        <v>0</v>
      </c>
      <c r="D11" s="1">
        <v>0</v>
      </c>
      <c r="E11" s="11">
        <v>1</v>
      </c>
    </row>
    <row r="12" spans="1:13" ht="15.75" thickTop="1" x14ac:dyDescent="0.25"/>
    <row r="13" spans="1:13" x14ac:dyDescent="0.25">
      <c r="B13" s="1" t="s">
        <v>1</v>
      </c>
      <c r="C13" s="1" t="s">
        <v>2</v>
      </c>
      <c r="D13" s="1" t="s">
        <v>3</v>
      </c>
    </row>
    <row r="14" spans="1:13" x14ac:dyDescent="0.25">
      <c r="A14" t="s">
        <v>9</v>
      </c>
      <c r="B14" s="12">
        <v>0</v>
      </c>
      <c r="C14" s="12">
        <v>0</v>
      </c>
      <c r="D14" s="12">
        <v>0</v>
      </c>
    </row>
    <row r="16" spans="1:13" ht="15.75" thickBot="1" x14ac:dyDescent="0.3">
      <c r="B16" s="13" t="s">
        <v>10</v>
      </c>
      <c r="C16" s="13"/>
      <c r="D16" s="13"/>
      <c r="E16" s="13"/>
      <c r="F16" s="13" t="s">
        <v>11</v>
      </c>
      <c r="G16" s="14"/>
      <c r="H16" s="14"/>
      <c r="I16" s="14"/>
      <c r="J16" s="13" t="s">
        <v>12</v>
      </c>
      <c r="K16" s="13"/>
      <c r="L16" s="13"/>
      <c r="M16" s="13"/>
    </row>
    <row r="17" spans="2:13" ht="15.75" thickTop="1" x14ac:dyDescent="0.25">
      <c r="B17" s="6">
        <v>1</v>
      </c>
      <c r="C17" s="1">
        <v>0</v>
      </c>
      <c r="D17" s="1">
        <v>0</v>
      </c>
      <c r="E17" s="7">
        <f>B14</f>
        <v>0</v>
      </c>
      <c r="F17" s="6">
        <f>B8</f>
        <v>0.99984769515639127</v>
      </c>
      <c r="G17" s="1">
        <f>C8</f>
        <v>-1.2340714939826924E-2</v>
      </c>
      <c r="H17" s="1">
        <f>D8</f>
        <v>1.2340714939826924E-2</v>
      </c>
      <c r="I17" s="7">
        <f>E8</f>
        <v>0</v>
      </c>
      <c r="J17" s="6">
        <v>1</v>
      </c>
      <c r="K17" s="1">
        <v>0</v>
      </c>
      <c r="L17" s="1">
        <v>0</v>
      </c>
      <c r="M17" s="7">
        <f>-B14</f>
        <v>0</v>
      </c>
    </row>
    <row r="18" spans="2:13" x14ac:dyDescent="0.25">
      <c r="B18" s="8">
        <v>0</v>
      </c>
      <c r="C18" s="1">
        <v>1</v>
      </c>
      <c r="D18" s="1">
        <v>0</v>
      </c>
      <c r="E18" s="9">
        <f>C14</f>
        <v>0</v>
      </c>
      <c r="F18" s="8">
        <f t="shared" ref="F18:F20" si="1">B9</f>
        <v>1.2340714939826924E-2</v>
      </c>
      <c r="G18" s="1">
        <f t="shared" ref="G17:I20" si="2">C9</f>
        <v>0.99992384757819563</v>
      </c>
      <c r="H18" s="1">
        <f t="shared" si="2"/>
        <v>7.6152421804365198E-5</v>
      </c>
      <c r="I18" s="9">
        <f t="shared" si="2"/>
        <v>0</v>
      </c>
      <c r="J18" s="8">
        <v>0</v>
      </c>
      <c r="K18" s="1">
        <v>1</v>
      </c>
      <c r="L18" s="1">
        <v>0</v>
      </c>
      <c r="M18" s="9">
        <f>-C14</f>
        <v>0</v>
      </c>
    </row>
    <row r="19" spans="2:13" x14ac:dyDescent="0.25">
      <c r="B19" s="8">
        <v>0</v>
      </c>
      <c r="C19" s="1">
        <v>0</v>
      </c>
      <c r="D19" s="1">
        <v>1</v>
      </c>
      <c r="E19" s="9">
        <f>D14</f>
        <v>0</v>
      </c>
      <c r="F19" s="8">
        <f t="shared" si="1"/>
        <v>-1.2340714939826924E-2</v>
      </c>
      <c r="G19" s="1">
        <f t="shared" si="2"/>
        <v>7.6152421804365198E-5</v>
      </c>
      <c r="H19" s="1">
        <f t="shared" si="2"/>
        <v>0.99992384757819563</v>
      </c>
      <c r="I19" s="9">
        <f t="shared" si="2"/>
        <v>0</v>
      </c>
      <c r="J19" s="8">
        <v>0</v>
      </c>
      <c r="K19" s="1">
        <v>0</v>
      </c>
      <c r="L19" s="1">
        <v>1</v>
      </c>
      <c r="M19" s="9">
        <f>-D14</f>
        <v>0</v>
      </c>
    </row>
    <row r="20" spans="2:13" ht="15.75" thickBot="1" x14ac:dyDescent="0.3">
      <c r="B20" s="10">
        <v>0</v>
      </c>
      <c r="C20" s="1">
        <v>0</v>
      </c>
      <c r="D20" s="1">
        <v>0</v>
      </c>
      <c r="E20" s="11">
        <v>1</v>
      </c>
      <c r="F20" s="10">
        <f t="shared" si="1"/>
        <v>0</v>
      </c>
      <c r="G20" s="1">
        <f t="shared" si="2"/>
        <v>0</v>
      </c>
      <c r="H20" s="1">
        <f t="shared" si="2"/>
        <v>0</v>
      </c>
      <c r="I20" s="11">
        <f t="shared" si="2"/>
        <v>1</v>
      </c>
      <c r="J20" s="10">
        <v>0</v>
      </c>
      <c r="K20" s="1">
        <v>0</v>
      </c>
      <c r="L20" s="1">
        <v>0</v>
      </c>
      <c r="M20" s="11">
        <v>1</v>
      </c>
    </row>
    <row r="21" spans="2:13" ht="15.75" thickTop="1" x14ac:dyDescent="0.25"/>
    <row r="22" spans="2:13" ht="15.75" thickBot="1" x14ac:dyDescent="0.3"/>
    <row r="23" spans="2:13" ht="15.75" thickTop="1" x14ac:dyDescent="0.25">
      <c r="D23" s="6">
        <f t="array" ref="D23:G26">MMULT(B17:E20,F17:I20)</f>
        <v>0.99984769515639127</v>
      </c>
      <c r="E23" s="1">
        <v>-1.2340714939826924E-2</v>
      </c>
      <c r="F23" s="1">
        <v>1.2340714939826924E-2</v>
      </c>
      <c r="G23" s="7">
        <v>0</v>
      </c>
      <c r="H23" s="6">
        <f>J17</f>
        <v>1</v>
      </c>
      <c r="I23" s="1">
        <f t="shared" ref="I23:K23" si="3">K17</f>
        <v>0</v>
      </c>
      <c r="J23" s="1">
        <f t="shared" si="3"/>
        <v>0</v>
      </c>
      <c r="K23" s="7">
        <f t="shared" si="3"/>
        <v>0</v>
      </c>
    </row>
    <row r="24" spans="2:13" x14ac:dyDescent="0.25">
      <c r="D24" s="8">
        <v>1.2340714939826924E-2</v>
      </c>
      <c r="E24" s="1">
        <v>0.99992384757819563</v>
      </c>
      <c r="F24" s="1">
        <v>7.6152421804365198E-5</v>
      </c>
      <c r="G24" s="9">
        <v>0</v>
      </c>
      <c r="H24" s="8">
        <f t="shared" ref="H24:H26" si="4">J18</f>
        <v>0</v>
      </c>
      <c r="I24" s="1">
        <f t="shared" ref="I24:I26" si="5">K18</f>
        <v>1</v>
      </c>
      <c r="J24" s="1">
        <f t="shared" ref="J24:J26" si="6">L18</f>
        <v>0</v>
      </c>
      <c r="K24" s="9">
        <f t="shared" ref="K24:K26" si="7">M18</f>
        <v>0</v>
      </c>
    </row>
    <row r="25" spans="2:13" x14ac:dyDescent="0.25">
      <c r="D25" s="8">
        <v>-1.2340714939826924E-2</v>
      </c>
      <c r="E25" s="1">
        <v>7.6152421804365198E-5</v>
      </c>
      <c r="F25" s="1">
        <v>0.99992384757819563</v>
      </c>
      <c r="G25" s="9">
        <v>0</v>
      </c>
      <c r="H25" s="8">
        <f t="shared" si="4"/>
        <v>0</v>
      </c>
      <c r="I25" s="1">
        <f t="shared" si="5"/>
        <v>0</v>
      </c>
      <c r="J25" s="1">
        <f t="shared" si="6"/>
        <v>1</v>
      </c>
      <c r="K25" s="9">
        <f t="shared" si="7"/>
        <v>0</v>
      </c>
    </row>
    <row r="26" spans="2:13" ht="15.75" thickBot="1" x14ac:dyDescent="0.3">
      <c r="D26" s="10">
        <v>0</v>
      </c>
      <c r="E26" s="1">
        <v>0</v>
      </c>
      <c r="F26" s="1">
        <v>0</v>
      </c>
      <c r="G26" s="11">
        <v>1</v>
      </c>
      <c r="H26" s="10">
        <f t="shared" si="4"/>
        <v>0</v>
      </c>
      <c r="I26" s="1">
        <f t="shared" si="5"/>
        <v>0</v>
      </c>
      <c r="J26" s="1">
        <f t="shared" si="6"/>
        <v>0</v>
      </c>
      <c r="K26" s="11">
        <f t="shared" si="7"/>
        <v>1</v>
      </c>
    </row>
    <row r="27" spans="2:13" ht="16.5" thickTop="1" thickBot="1" x14ac:dyDescent="0.3"/>
    <row r="28" spans="2:13" ht="15.75" thickTop="1" x14ac:dyDescent="0.25">
      <c r="F28" s="6">
        <f t="array" ref="F28:I31">MMULT(D23:G26,H23:K26)</f>
        <v>0.99984769515639127</v>
      </c>
      <c r="G28" s="1">
        <v>-1.2340714939826924E-2</v>
      </c>
      <c r="H28">
        <v>1.2340714939826924E-2</v>
      </c>
      <c r="I28" s="2">
        <v>0</v>
      </c>
    </row>
    <row r="29" spans="2:13" x14ac:dyDescent="0.25">
      <c r="F29" s="8">
        <v>1.2340714939826924E-2</v>
      </c>
      <c r="G29" s="1">
        <v>0.99992384757819563</v>
      </c>
      <c r="H29">
        <v>7.6152421804365198E-5</v>
      </c>
      <c r="I29" s="3">
        <v>0</v>
      </c>
    </row>
    <row r="30" spans="2:13" x14ac:dyDescent="0.25">
      <c r="F30" s="8">
        <v>-1.2340714939826924E-2</v>
      </c>
      <c r="G30" s="1">
        <v>7.6152421804365198E-5</v>
      </c>
      <c r="H30">
        <v>0.99992384757819563</v>
      </c>
      <c r="I30" s="3">
        <v>0</v>
      </c>
    </row>
    <row r="31" spans="2:13" ht="15.75" thickBot="1" x14ac:dyDescent="0.3">
      <c r="F31" s="10">
        <v>0</v>
      </c>
      <c r="G31" s="1">
        <v>0</v>
      </c>
      <c r="H31">
        <v>0</v>
      </c>
      <c r="I31" s="4">
        <v>1</v>
      </c>
    </row>
    <row r="32" spans="2:13" ht="15.75" thickTop="1" x14ac:dyDescent="0.25"/>
    <row r="33" spans="1:16" x14ac:dyDescent="0.25">
      <c r="A33" t="s">
        <v>13</v>
      </c>
    </row>
    <row r="35" spans="1:16" s="1" customFormat="1" x14ac:dyDescent="0.25">
      <c r="A35" s="1" t="s">
        <v>1</v>
      </c>
      <c r="B35" s="12">
        <v>0</v>
      </c>
      <c r="C35" s="12">
        <v>-1</v>
      </c>
      <c r="D35" s="12">
        <v>-1</v>
      </c>
      <c r="E35" s="12">
        <v>1</v>
      </c>
      <c r="F35" s="12">
        <v>1</v>
      </c>
      <c r="G35" s="12">
        <v>0</v>
      </c>
      <c r="H35" s="12"/>
      <c r="I35" s="12"/>
      <c r="J35" s="12"/>
      <c r="K35" s="12"/>
      <c r="L35" s="12"/>
      <c r="M35" s="12"/>
      <c r="N35" s="12"/>
      <c r="O35" s="12"/>
      <c r="P35" s="12"/>
    </row>
    <row r="36" spans="1:16" s="1" customFormat="1" x14ac:dyDescent="0.25">
      <c r="A36" s="1" t="s">
        <v>2</v>
      </c>
      <c r="B36" s="12">
        <v>2</v>
      </c>
      <c r="C36" s="12">
        <v>-1</v>
      </c>
      <c r="D36" s="12">
        <v>-1</v>
      </c>
      <c r="E36" s="12">
        <v>-1</v>
      </c>
      <c r="F36" s="12">
        <v>-1</v>
      </c>
      <c r="G36" s="12">
        <v>0</v>
      </c>
      <c r="H36" s="12"/>
      <c r="I36" s="12"/>
      <c r="J36" s="12"/>
      <c r="K36" s="12"/>
      <c r="L36" s="12"/>
      <c r="M36" s="12"/>
      <c r="N36" s="12"/>
      <c r="O36" s="12"/>
      <c r="P36" s="12"/>
    </row>
    <row r="37" spans="1:16" s="1" customFormat="1" x14ac:dyDescent="0.25">
      <c r="A37" s="1" t="s">
        <v>3</v>
      </c>
      <c r="B37" s="12">
        <v>0</v>
      </c>
      <c r="C37" s="12">
        <v>-1</v>
      </c>
      <c r="D37" s="12">
        <v>1</v>
      </c>
      <c r="E37" s="12">
        <v>1</v>
      </c>
      <c r="F37" s="12">
        <v>-1</v>
      </c>
      <c r="G37" s="12">
        <v>0</v>
      </c>
      <c r="H37" s="12"/>
      <c r="I37" s="12"/>
      <c r="J37" s="12"/>
      <c r="K37" s="12"/>
      <c r="L37" s="12"/>
      <c r="M37" s="12"/>
      <c r="N37" s="12"/>
      <c r="O37" s="12"/>
      <c r="P37" s="12"/>
    </row>
    <row r="38" spans="1:16" s="1" customFormat="1" x14ac:dyDescent="0.25">
      <c r="A38" s="1">
        <v>1</v>
      </c>
      <c r="B38" s="12">
        <v>1</v>
      </c>
      <c r="C38" s="12">
        <v>1</v>
      </c>
      <c r="D38" s="12">
        <v>1</v>
      </c>
      <c r="E38" s="12">
        <v>1</v>
      </c>
      <c r="F38" s="12">
        <v>1</v>
      </c>
      <c r="G38" s="12">
        <v>1</v>
      </c>
      <c r="H38" s="12"/>
      <c r="I38" s="12"/>
      <c r="J38" s="12"/>
      <c r="K38" s="12"/>
      <c r="L38" s="12"/>
      <c r="M38" s="12"/>
      <c r="N38" s="12"/>
      <c r="O38" s="12"/>
      <c r="P38" s="12"/>
    </row>
    <row r="40" spans="1:16" x14ac:dyDescent="0.25">
      <c r="B40" s="1">
        <f t="array" ref="B40:B43">MMULT($F$28:$I$31,B35:B38)</f>
        <v>-2.4681429879653848E-2</v>
      </c>
      <c r="C40" s="1">
        <f t="array" ref="C40:C43">MMULT($F$28:$I$31,C35:C38)</f>
        <v>-0.99984769515639127</v>
      </c>
      <c r="D40" s="1">
        <f t="array" ref="D40:D43">MMULT($F$28:$I$31,D35:D38)</f>
        <v>-0.97516626527673744</v>
      </c>
      <c r="E40" s="1">
        <f t="array" ref="E40:E43">MMULT($F$28:$I$31,E35:E38)</f>
        <v>1.0245291250360451</v>
      </c>
      <c r="F40" s="1">
        <f t="array" ref="F40:F43">MMULT($F$28:$I$31,F35:F38)</f>
        <v>0.99984769515639127</v>
      </c>
      <c r="H40" s="1"/>
      <c r="I40" s="1"/>
      <c r="N40" s="1"/>
      <c r="O40" s="1"/>
      <c r="P40" s="1"/>
    </row>
    <row r="41" spans="1:16" x14ac:dyDescent="0.25">
      <c r="B41" s="1">
        <v>1.9998476951563913</v>
      </c>
      <c r="C41" s="1">
        <v>-1.0123407149398269</v>
      </c>
      <c r="D41" s="1">
        <v>-1.0121884100962184</v>
      </c>
      <c r="E41" s="1">
        <v>-0.98750698021656436</v>
      </c>
      <c r="F41" s="1">
        <v>-0.98765928506017309</v>
      </c>
      <c r="H41" s="1"/>
      <c r="I41" s="1"/>
      <c r="N41" s="1"/>
      <c r="O41" s="1"/>
      <c r="P41" s="1"/>
    </row>
    <row r="42" spans="1:16" x14ac:dyDescent="0.25">
      <c r="B42" s="1">
        <v>1.523048436087304E-4</v>
      </c>
      <c r="C42" s="1">
        <v>-0.98765928506017309</v>
      </c>
      <c r="D42" s="1">
        <v>1.0121884100962182</v>
      </c>
      <c r="E42" s="1">
        <v>0.98750698021656436</v>
      </c>
      <c r="F42" s="1">
        <v>-1.0123407149398269</v>
      </c>
      <c r="H42" s="1"/>
      <c r="I42" s="1"/>
      <c r="N42" s="1"/>
      <c r="O42" s="1"/>
      <c r="P42" s="1"/>
    </row>
    <row r="43" spans="1:16" x14ac:dyDescent="0.25">
      <c r="B43" s="1">
        <v>1</v>
      </c>
      <c r="C43" s="1">
        <v>1</v>
      </c>
      <c r="D43" s="1">
        <v>1</v>
      </c>
      <c r="E43" s="1">
        <v>1</v>
      </c>
      <c r="F43" s="1">
        <v>1</v>
      </c>
      <c r="H43" s="1"/>
      <c r="I43" s="1"/>
      <c r="N43" s="1"/>
      <c r="O43" s="1"/>
      <c r="P43" s="1"/>
    </row>
    <row r="45" spans="1:16" x14ac:dyDescent="0.25">
      <c r="B45" s="1">
        <f t="array" ref="B45:D49">TRANSPOSE(B40:F42)</f>
        <v>-2.4681429879653848E-2</v>
      </c>
      <c r="C45" s="1">
        <v>1.9998476951563913</v>
      </c>
      <c r="D45" s="1">
        <v>1.523048436087304E-4</v>
      </c>
      <c r="F45" s="1">
        <f>B45/D45</f>
        <v>-162.05282310692752</v>
      </c>
      <c r="G45" s="1">
        <f>C45/D45</f>
        <v>13130.558738459951</v>
      </c>
    </row>
    <row r="46" spans="1:16" x14ac:dyDescent="0.25">
      <c r="B46" s="1">
        <v>-0.99984769515639127</v>
      </c>
      <c r="C46" s="1">
        <v>-1.0123407149398269</v>
      </c>
      <c r="D46" s="1">
        <v>-0.98765928506017309</v>
      </c>
      <c r="F46" s="1">
        <f t="shared" ref="F46:F54" si="8">B46/D46</f>
        <v>1.0123407031965235</v>
      </c>
      <c r="G46" s="1">
        <f t="shared" ref="G46:G54" si="9">C46/D46</f>
        <v>1.024989822151219</v>
      </c>
    </row>
    <row r="47" spans="1:16" x14ac:dyDescent="0.25">
      <c r="B47" s="1">
        <v>-0.97516626527673744</v>
      </c>
      <c r="C47" s="1">
        <v>-1.0121884100962184</v>
      </c>
      <c r="D47" s="1">
        <v>1.0121884100962182</v>
      </c>
      <c r="F47" s="1">
        <f t="shared" si="8"/>
        <v>-0.96342366258080214</v>
      </c>
      <c r="G47" s="1">
        <f t="shared" si="9"/>
        <v>-1.0000000000000002</v>
      </c>
    </row>
    <row r="48" spans="1:16" x14ac:dyDescent="0.25">
      <c r="B48" s="1">
        <v>1.0245291250360451</v>
      </c>
      <c r="C48" s="1">
        <v>-0.98750698021656436</v>
      </c>
      <c r="D48" s="1">
        <v>0.98750698021656436</v>
      </c>
      <c r="F48" s="1">
        <f t="shared" si="8"/>
        <v>1.0374905145595645</v>
      </c>
      <c r="G48" s="1">
        <f t="shared" si="9"/>
        <v>-1</v>
      </c>
    </row>
    <row r="49" spans="2:7" x14ac:dyDescent="0.25">
      <c r="B49" s="1">
        <v>0.99984769515639127</v>
      </c>
      <c r="C49" s="1">
        <v>-0.98765928506017309</v>
      </c>
      <c r="D49" s="1">
        <v>-1.0123407149398269</v>
      </c>
      <c r="F49" s="1">
        <f t="shared" si="8"/>
        <v>-0.98765927360317796</v>
      </c>
      <c r="G49" s="1">
        <f t="shared" si="9"/>
        <v>0.97561944361674624</v>
      </c>
    </row>
  </sheetData>
  <mergeCells count="3">
    <mergeCell ref="B16:E16"/>
    <mergeCell ref="F16:I16"/>
    <mergeCell ref="J16:M1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Sheehy</dc:creator>
  <cp:keywords/>
  <dc:description/>
  <cp:lastModifiedBy>Robert Sheehy</cp:lastModifiedBy>
  <cp:revision/>
  <dcterms:created xsi:type="dcterms:W3CDTF">2024-05-07T12:52:11Z</dcterms:created>
  <dcterms:modified xsi:type="dcterms:W3CDTF">2025-10-15T12:01:38Z</dcterms:modified>
  <cp:category/>
  <cp:contentStatus/>
</cp:coreProperties>
</file>