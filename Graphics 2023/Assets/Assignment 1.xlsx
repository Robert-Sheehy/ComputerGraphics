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0036625\Downloads\"/>
    </mc:Choice>
  </mc:AlternateContent>
  <xr:revisionPtr revIDLastSave="0" documentId="13_ncr:1_{1A6F0355-6263-4FE2-B147-350B8F0F97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ignment generation" sheetId="1" r:id="rId1"/>
    <sheet name="Map of Assignment" sheetId="2" r:id="rId2"/>
    <sheet name="Sheet2" sheetId="4" r:id="rId3"/>
    <sheet name="Sheet1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E13" i="1" s="1"/>
  <c r="D7" i="1"/>
  <c r="C12" i="1" s="1"/>
  <c r="E7" i="1"/>
  <c r="E11" i="1" s="1"/>
  <c r="C8" i="1"/>
  <c r="D12" i="1" s="1"/>
  <c r="D8" i="1"/>
  <c r="E8" i="1"/>
  <c r="E12" i="1" s="1"/>
  <c r="C9" i="1"/>
  <c r="D9" i="1"/>
  <c r="E9" i="1"/>
  <c r="C13" i="1" s="1"/>
  <c r="D11" i="1" l="1"/>
  <c r="D13" i="1"/>
  <c r="C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<sst xmlns="http://schemas.openxmlformats.org/spreadsheetml/2006/main" count="45" uniqueCount="42">
  <si>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</si>
  <si>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</si>
  <si>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</si>
  <si>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</si>
  <si>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</si>
  <si>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</si>
  <si>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</si>
  <si>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</si>
  <si>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</si>
  <si>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</si>
  <si>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</si>
  <si>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</si>
  <si>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</si>
  <si>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</si>
  <si>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</si>
  <si>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</si>
  <si>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</si>
  <si>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</si>
  <si>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</si>
  <si>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</si>
  <si>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</si>
  <si>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</si>
  <si>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</si>
  <si>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</si>
  <si>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</si>
  <si>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</si>
  <si>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</si>
  <si>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</si>
  <si>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</si>
  <si>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</si>
  <si>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</si>
  <si>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</si>
  <si>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</si>
  <si>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</si>
  <si>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</si>
  <si>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Can Be negative</t>
  </si>
  <si>
    <t>Can be negative, needs to be normalised</t>
  </si>
  <si>
    <t>Cannot have 0 or negatives</t>
  </si>
  <si>
    <t>0 replace with 2, negative change sign</t>
  </si>
  <si>
    <t>Vertices of your letter</t>
  </si>
  <si>
    <t>Matrix.lookat();</t>
  </si>
  <si>
    <t>. To be e-mailed to robert.sheehy@mtu.ie before midnight.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</si>
</sst>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2" fillId="2" borderId="0" xfId="1" applyNumberFormat="1" applyAlignment="1">
      <alignment horizontal="right"/>
    </xf>
    <xf numFmtId="0" fontId="2" fillId="2" borderId="0" xfId="1" applyAlignment="1">
      <alignment vertical="center"/>
    </xf>
    <xf numFmtId="0" fontId="4" fillId="4" borderId="0" xfId="3" applyNumberFormat="1" applyAlignment="1">
      <alignment horizontal="right"/>
    </xf>
    <xf numFmtId="0" fontId="4" fillId="4" borderId="0" xfId="3" applyAlignment="1">
      <alignment vertical="center"/>
    </xf>
    <xf numFmtId="0" fontId="3" fillId="3" borderId="0" xfId="2" applyNumberFormat="1" applyAlignment="1">
      <alignment horizontal="right"/>
    </xf>
    <xf numFmtId="0" fontId="3" fillId="3" borderId="0" xfId="2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1053703</xdr:colOff>
      <xdr:row>2</xdr:row>
      <xdr:rowOff>1107280</xdr:rowOff>
    </xdr:from>
    <xdr:to>
      <xdr:col>4</xdr:col>
      <xdr:colOff>376492</xdr:colOff>
      <xdr:row>2</xdr:row>
      <xdr:rowOff>2374282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1FFA1-EA65-B160-4231-9C2374ED3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5359" y="1428749"/>
          <a:ext cx="1829055" cy="1267002"/>
        </a:xfrm>
        <a:prstGeom prst="rect">
          <a:avLst/>
        </a:prstGeom>
      </xdr:spPr>
    </xdr:pic>
    <xdr:clientData/>
  </xdr:twoCellAnchor>
  <xdr:twoCellAnchor editAs="oneCell">
    <xdr:from>
      <xdr:col>3</xdr:col>
      <xdr:colOff>178594</xdr:colOff>
      <xdr:row>5</xdr:row>
      <xdr:rowOff>226219</xdr:rowOff>
    </xdr:from>
    <xdr:to>
      <xdr:col>4</xdr:col>
      <xdr:colOff>1263754</xdr:colOff>
      <xdr:row>5</xdr:row>
      <xdr:rowOff>1378905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860C79-3305-AEB3-D54A-83A30553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0" y="6060282"/>
          <a:ext cx="3591426" cy="11526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1189950</xdr:colOff>
      <xdr:row>8</xdr:row>
      <xdr:rowOff>1333686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27C574-4FF2-4579-DDA9-468CD701B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1656" y="7995047"/>
          <a:ext cx="3696216" cy="1333686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11</xdr:row>
      <xdr:rowOff>1</xdr:rowOff>
    </xdr:from>
    <xdr:to>
      <xdr:col>3</xdr:col>
      <xdr:colOff>1768079</xdr:colOff>
      <xdr:row>12</xdr:row>
      <xdr:rowOff>63076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ADCE67-E8F6-166D-AD8D-BBFA66C12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1657" y="13519548"/>
          <a:ext cx="1768078" cy="1241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opLeftCell="B1" zoomScale="145" zoomScaleNormal="145" workbookViewId="0">
      <selection activeCell="E8" sqref="E8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customWidth="1"/>
    <col min="4" max="6" width="9.140625" customWidth="1"/>
    <col min="11" max="11" width="39.5703125" customWidth="1"/>
    <col min="12" max="12" width="57" customWidth="1"/>
  </cols>
  <sheetData>
    <row r="1" spans="1:12" ht="12.75" customHeight="1" x14ac:dyDescent="0.2">
      <c r="A1" s="33" t="s">
        <v>19</v>
      </c>
      <c r="B1" s="33"/>
      <c r="C1" s="33"/>
      <c r="D1" s="33"/>
      <c r="E1" s="33"/>
      <c r="F1" s="33"/>
    </row>
    <row r="2" spans="1:12" ht="12.75" customHeight="1" x14ac:dyDescent="0.2">
      <c r="A2" s="34" t="s">
        <v>41</v>
      </c>
      <c r="B2" s="34"/>
      <c r="C2" s="34"/>
      <c r="D2" s="34"/>
      <c r="E2" s="34"/>
      <c r="F2" s="34"/>
      <c r="K2" s="28" t="s">
        <v>35</v>
      </c>
    </row>
    <row r="3" spans="1:12" ht="12.75" customHeight="1" x14ac:dyDescent="0.2">
      <c r="A3" s="1" t="s">
        <v>25</v>
      </c>
    </row>
    <row r="4" spans="1:12" ht="12.75" customHeight="1" x14ac:dyDescent="0.2">
      <c r="B4" s="1" t="s">
        <v>22</v>
      </c>
      <c r="C4" s="2">
        <v>36625</v>
      </c>
    </row>
    <row r="5" spans="1:12" ht="12.75" customHeight="1" x14ac:dyDescent="0.2">
      <c r="K5" s="30" t="s">
        <v>36</v>
      </c>
    </row>
    <row r="6" spans="1:12" ht="12.75" customHeight="1" x14ac:dyDescent="0.25">
      <c r="A6" s="1" t="s">
        <v>17</v>
      </c>
      <c r="B6" s="1" t="s">
        <v>5</v>
      </c>
      <c r="C6" s="27">
        <f>MOD(C4,100)-50</f>
        <v>-25</v>
      </c>
    </row>
    <row r="7" spans="1:12" ht="12.75" customHeight="1" x14ac:dyDescent="0.25">
      <c r="A7" s="1" t="s">
        <v>23</v>
      </c>
      <c r="B7" s="1" t="s">
        <v>24</v>
      </c>
      <c r="C7" s="29">
        <f>INT((C4/10000))-5</f>
        <v>-2</v>
      </c>
      <c r="D7" s="29">
        <f>MOD(INT((C4/100)),10)-5</f>
        <v>1</v>
      </c>
      <c r="E7" s="29">
        <f>MOD(INT((C4/100)),10)-5</f>
        <v>1</v>
      </c>
    </row>
    <row r="8" spans="1:12" ht="12.75" customHeight="1" x14ac:dyDescent="0.25">
      <c r="A8" s="1" t="s">
        <v>8</v>
      </c>
      <c r="B8" s="1" t="s">
        <v>14</v>
      </c>
      <c r="C8" s="31">
        <f>INT((C4/10000))-5</f>
        <v>-2</v>
      </c>
      <c r="D8" s="31">
        <f>MOD(INT((C4/1000)),10)-4</f>
        <v>2</v>
      </c>
      <c r="E8" s="31">
        <f>MOD(INT((C4/100)),10)-5</f>
        <v>1</v>
      </c>
      <c r="G8">
        <v>5</v>
      </c>
      <c r="H8">
        <v>4</v>
      </c>
      <c r="I8">
        <v>4</v>
      </c>
      <c r="K8" s="32" t="s">
        <v>37</v>
      </c>
      <c r="L8" t="s">
        <v>38</v>
      </c>
    </row>
    <row r="9" spans="1:12" ht="12.75" customHeight="1" x14ac:dyDescent="0.25">
      <c r="A9" s="1" t="s">
        <v>26</v>
      </c>
      <c r="B9" s="1" t="s">
        <v>2</v>
      </c>
      <c r="C9" s="27">
        <f>MOD(C4,10)-5</f>
        <v>0</v>
      </c>
      <c r="D9" s="27">
        <f>MOD(INT((C4/10)),10)-5</f>
        <v>-3</v>
      </c>
      <c r="E9" s="27">
        <f>MOD(INT((C4/100)),10)-4</f>
        <v>2</v>
      </c>
    </row>
    <row r="11" spans="1:12" ht="12.75" customHeight="1" x14ac:dyDescent="0.25">
      <c r="A11" s="3" t="s">
        <v>29</v>
      </c>
      <c r="B11" s="1" t="s">
        <v>6</v>
      </c>
      <c r="C11" s="27">
        <f>2+C7</f>
        <v>0</v>
      </c>
      <c r="D11" s="27">
        <f>3+D7</f>
        <v>4</v>
      </c>
      <c r="E11" s="27">
        <f>E7+50</f>
        <v>51</v>
      </c>
    </row>
    <row r="12" spans="1:12" ht="12.75" customHeight="1" x14ac:dyDescent="0.25">
      <c r="A12" s="3"/>
      <c r="B12" s="1" t="s">
        <v>9</v>
      </c>
      <c r="C12" s="29">
        <f>D7</f>
        <v>1</v>
      </c>
      <c r="D12" s="29">
        <f>C8</f>
        <v>-2</v>
      </c>
      <c r="E12" s="29">
        <f>E8</f>
        <v>1</v>
      </c>
      <c r="H12" t="s">
        <v>40</v>
      </c>
    </row>
    <row r="13" spans="1:12" ht="12.75" customHeight="1" x14ac:dyDescent="0.25">
      <c r="A13" s="3"/>
      <c r="B13" s="1" t="s">
        <v>28</v>
      </c>
      <c r="C13" s="29">
        <f>E9</f>
        <v>2</v>
      </c>
      <c r="D13" s="29">
        <f>D7</f>
        <v>1</v>
      </c>
      <c r="E13" s="29">
        <f>C7</f>
        <v>-2</v>
      </c>
    </row>
    <row r="15" spans="1:12" ht="12.75" customHeight="1" x14ac:dyDescent="0.2">
      <c r="A15" s="1" t="s">
        <v>34</v>
      </c>
      <c r="B15" s="1" t="s">
        <v>27</v>
      </c>
      <c r="C15" s="1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abSelected="1" zoomScale="10" zoomScaleNormal="10" workbookViewId="0">
      <selection activeCell="D4" sqref="D1:E1048576"/>
    </sheetView>
  </sheetViews>
  <sheetFormatPr defaultColWidth="9.140625" defaultRowHeight="12.75" customHeight="1" x14ac:dyDescent="0.2"/>
  <cols>
    <col min="1" max="3" width="9.140625" customWidth="1"/>
    <col min="4" max="4" width="37.5703125" customWidth="1"/>
    <col min="5" max="5" width="19" customWidth="1"/>
    <col min="6" max="6" width="21" customWidth="1"/>
    <col min="7" max="7" width="17.7109375" customWidth="1"/>
    <col min="8" max="8" width="27.5703125" customWidth="1"/>
    <col min="9" max="9" width="13.42578125" customWidth="1"/>
    <col min="10" max="10" width="9.140625" customWidth="1"/>
    <col min="11" max="11" width="3.7109375" customWidth="1"/>
    <col min="12" max="12" width="43.140625" customWidth="1"/>
    <col min="13" max="13" width="14.42578125" customWidth="1"/>
  </cols>
  <sheetData>
    <row r="1" spans="3:13" ht="12.75" customHeight="1" x14ac:dyDescent="0.2">
      <c r="D1" s="4"/>
      <c r="E1" s="4"/>
    </row>
    <row r="2" spans="3:13" ht="12.75" customHeight="1" x14ac:dyDescent="0.2">
      <c r="C2" s="5"/>
      <c r="D2" s="43" t="s">
        <v>39</v>
      </c>
      <c r="E2" s="44"/>
      <c r="F2" s="8"/>
      <c r="G2" s="4"/>
      <c r="H2" s="4"/>
      <c r="I2" s="4"/>
      <c r="J2" s="4"/>
      <c r="K2" s="4"/>
      <c r="L2" s="4"/>
    </row>
    <row r="3" spans="3:13" ht="408.75" customHeight="1" x14ac:dyDescent="0.2">
      <c r="C3" s="5"/>
      <c r="D3" s="35"/>
      <c r="E3" s="37"/>
      <c r="F3" s="6"/>
      <c r="G3" s="11"/>
      <c r="H3" s="7"/>
      <c r="I3" s="6"/>
      <c r="J3" s="11"/>
      <c r="K3" s="11"/>
      <c r="L3" s="7"/>
      <c r="M3" s="12"/>
    </row>
    <row r="4" spans="3:13" ht="12.75" customHeight="1" x14ac:dyDescent="0.2">
      <c r="D4" s="13"/>
      <c r="E4" s="14"/>
      <c r="H4" s="15"/>
      <c r="I4" s="12"/>
      <c r="L4" s="15"/>
      <c r="M4" s="12"/>
    </row>
    <row r="5" spans="3:13" ht="12.75" customHeight="1" x14ac:dyDescent="0.2">
      <c r="C5" s="5"/>
      <c r="D5" s="43" t="s">
        <v>13</v>
      </c>
      <c r="E5" s="44"/>
      <c r="F5" s="8"/>
      <c r="H5" s="15"/>
      <c r="I5" s="12"/>
      <c r="L5" s="15"/>
      <c r="M5" s="12"/>
    </row>
    <row r="6" spans="3:13" ht="138.75" customHeight="1" x14ac:dyDescent="0.2">
      <c r="C6" s="5"/>
      <c r="D6" s="35"/>
      <c r="E6" s="37"/>
      <c r="F6" s="16"/>
      <c r="G6" s="12"/>
      <c r="H6" s="15"/>
      <c r="I6" s="12"/>
      <c r="L6" s="15"/>
      <c r="M6" s="12"/>
    </row>
    <row r="7" spans="3:13" ht="12.75" customHeight="1" x14ac:dyDescent="0.2">
      <c r="D7" s="13"/>
      <c r="E7" s="14"/>
      <c r="F7" s="15"/>
      <c r="G7" s="12"/>
      <c r="H7" s="15"/>
      <c r="I7" s="12"/>
      <c r="L7" s="15"/>
      <c r="M7" s="12"/>
    </row>
    <row r="8" spans="3:13" ht="18.75" customHeight="1" x14ac:dyDescent="0.2">
      <c r="C8" s="5"/>
      <c r="D8" s="43" t="s">
        <v>30</v>
      </c>
      <c r="E8" s="44"/>
      <c r="F8" s="17"/>
      <c r="G8" s="12"/>
      <c r="H8" s="15"/>
      <c r="I8" s="12"/>
      <c r="L8" s="15"/>
      <c r="M8" s="12"/>
    </row>
    <row r="9" spans="3:13" ht="409.5" customHeight="1" x14ac:dyDescent="0.2">
      <c r="C9" s="5"/>
      <c r="D9" s="35"/>
      <c r="E9" s="37"/>
      <c r="F9" s="17"/>
      <c r="G9" s="12"/>
      <c r="H9" s="15"/>
      <c r="I9" s="12"/>
      <c r="L9" s="15"/>
      <c r="M9" s="12"/>
    </row>
    <row r="10" spans="3:13" ht="12.75" customHeight="1" x14ac:dyDescent="0.2">
      <c r="D10" s="13"/>
      <c r="E10" s="14"/>
      <c r="F10" s="15"/>
      <c r="G10" s="12"/>
      <c r="H10" s="10"/>
      <c r="I10" s="8"/>
      <c r="L10" s="15"/>
      <c r="M10" s="12"/>
    </row>
    <row r="11" spans="3:13" ht="12.75" customHeight="1" x14ac:dyDescent="0.2">
      <c r="C11" s="5"/>
      <c r="D11" s="43" t="s">
        <v>4</v>
      </c>
      <c r="E11" s="44"/>
      <c r="F11" s="18"/>
      <c r="G11" s="19"/>
      <c r="H11" s="41" t="s">
        <v>16</v>
      </c>
      <c r="I11" s="42"/>
      <c r="J11" s="8"/>
      <c r="L11" s="15"/>
      <c r="M11" s="12"/>
    </row>
    <row r="12" spans="3:13" ht="93" customHeight="1" x14ac:dyDescent="0.2">
      <c r="C12" s="5"/>
      <c r="D12" s="35"/>
      <c r="E12" s="37"/>
      <c r="F12" s="16"/>
      <c r="G12" s="16"/>
      <c r="H12" s="35"/>
      <c r="I12" s="37"/>
      <c r="J12" s="16"/>
      <c r="K12" s="12"/>
      <c r="L12" s="15"/>
      <c r="M12" s="12"/>
    </row>
    <row r="13" spans="3:13" ht="12.75" customHeight="1" x14ac:dyDescent="0.2">
      <c r="D13" s="13"/>
      <c r="E13" s="14"/>
      <c r="F13" s="15"/>
      <c r="G13" s="12"/>
      <c r="H13" s="7"/>
      <c r="I13" s="20"/>
      <c r="J13" s="15"/>
      <c r="K13" s="12"/>
      <c r="L13" s="15"/>
      <c r="M13" s="12"/>
    </row>
    <row r="14" spans="3:13" ht="12.75" customHeight="1" x14ac:dyDescent="0.2">
      <c r="C14" s="5"/>
      <c r="D14" s="43" t="s">
        <v>11</v>
      </c>
      <c r="E14" s="44"/>
      <c r="F14" s="17"/>
      <c r="G14" s="12"/>
      <c r="H14" s="15"/>
      <c r="I14" s="12"/>
      <c r="J14" s="15"/>
      <c r="K14" s="12"/>
      <c r="L14" s="15"/>
      <c r="M14" s="12"/>
    </row>
    <row r="15" spans="3:13" ht="409.5" customHeight="1" x14ac:dyDescent="0.2">
      <c r="C15" s="5"/>
      <c r="D15" s="35"/>
      <c r="E15" s="37"/>
      <c r="F15" s="17"/>
      <c r="G15" s="12"/>
      <c r="H15" s="15"/>
      <c r="I15" s="12"/>
      <c r="J15" s="15"/>
      <c r="K15" s="12"/>
      <c r="L15" s="15"/>
      <c r="M15" s="12"/>
    </row>
    <row r="16" spans="3:13" ht="12.75" customHeight="1" x14ac:dyDescent="0.2">
      <c r="D16" s="13"/>
      <c r="E16" s="14"/>
      <c r="F16" s="15"/>
      <c r="G16" s="12"/>
      <c r="H16" s="15"/>
      <c r="I16" s="12"/>
      <c r="J16" s="15"/>
      <c r="K16" s="12"/>
      <c r="L16" s="15"/>
      <c r="M16" s="12"/>
    </row>
    <row r="17" spans="1:13" ht="12.75" customHeight="1" x14ac:dyDescent="0.2">
      <c r="C17" s="5"/>
      <c r="D17" s="43" t="s">
        <v>3</v>
      </c>
      <c r="E17" s="44"/>
      <c r="F17" s="18"/>
      <c r="G17" s="12"/>
      <c r="H17" s="15"/>
      <c r="I17" s="12"/>
      <c r="J17" s="15"/>
      <c r="K17" s="12"/>
      <c r="L17" s="15"/>
      <c r="M17" s="12"/>
    </row>
    <row r="18" spans="1:13" ht="107.25" customHeight="1" x14ac:dyDescent="0.2">
      <c r="C18" s="5"/>
      <c r="D18" s="35"/>
      <c r="E18" s="37"/>
      <c r="F18" s="20"/>
      <c r="H18" s="15"/>
      <c r="I18" s="12"/>
      <c r="J18" s="15"/>
      <c r="K18" s="12"/>
      <c r="L18" s="15"/>
      <c r="M18" s="12"/>
    </row>
    <row r="19" spans="1:13" ht="12.75" customHeight="1" x14ac:dyDescent="0.2">
      <c r="D19" s="13"/>
      <c r="E19" s="14"/>
      <c r="H19" s="10"/>
      <c r="I19" s="8"/>
      <c r="J19" s="15"/>
      <c r="K19" s="12"/>
      <c r="L19" s="15"/>
      <c r="M19" s="12"/>
    </row>
    <row r="20" spans="1:13" ht="12.75" customHeight="1" x14ac:dyDescent="0.2">
      <c r="C20" s="5"/>
      <c r="D20" s="43" t="s">
        <v>7</v>
      </c>
      <c r="E20" s="44"/>
      <c r="F20" s="38" t="s">
        <v>32</v>
      </c>
      <c r="G20" s="40"/>
      <c r="H20" s="41" t="s">
        <v>1</v>
      </c>
      <c r="I20" s="42"/>
      <c r="J20" s="17"/>
      <c r="K20" s="12"/>
      <c r="L20" s="15"/>
      <c r="M20" s="12"/>
    </row>
    <row r="21" spans="1:13" ht="409.5" customHeight="1" x14ac:dyDescent="0.2">
      <c r="C21" s="5"/>
      <c r="D21" s="35"/>
      <c r="E21" s="37"/>
      <c r="F21" s="38"/>
      <c r="G21" s="40"/>
      <c r="H21" s="35"/>
      <c r="I21" s="37"/>
      <c r="J21" s="17"/>
      <c r="K21" s="12"/>
      <c r="L21" s="15"/>
      <c r="M21" s="12"/>
    </row>
    <row r="22" spans="1:13" ht="12.75" customHeight="1" x14ac:dyDescent="0.2">
      <c r="D22" s="13"/>
      <c r="E22" s="14"/>
      <c r="H22" s="21"/>
      <c r="I22" s="21"/>
      <c r="J22" s="15"/>
      <c r="K22" s="12"/>
      <c r="L22" s="10"/>
      <c r="M22" s="8"/>
    </row>
    <row r="23" spans="1:13" ht="12.75" customHeight="1" x14ac:dyDescent="0.2">
      <c r="C23" s="5"/>
      <c r="D23" s="43" t="s">
        <v>10</v>
      </c>
      <c r="E23" s="44"/>
      <c r="F23" s="9"/>
      <c r="G23" s="22"/>
      <c r="H23" s="22"/>
      <c r="I23" s="22"/>
      <c r="J23" s="10"/>
      <c r="K23" s="18"/>
      <c r="L23" s="41" t="s">
        <v>21</v>
      </c>
      <c r="M23" s="42"/>
    </row>
    <row r="24" spans="1:13" ht="113.25" customHeight="1" x14ac:dyDescent="0.2">
      <c r="C24" s="5"/>
      <c r="D24" s="35"/>
      <c r="E24" s="37"/>
      <c r="F24" s="6"/>
      <c r="G24" s="11"/>
      <c r="H24" s="11"/>
      <c r="I24" s="11"/>
      <c r="J24" s="7"/>
      <c r="K24" s="23"/>
      <c r="L24" s="35"/>
      <c r="M24" s="37"/>
    </row>
    <row r="25" spans="1:13" ht="12.75" customHeight="1" x14ac:dyDescent="0.2">
      <c r="D25" s="13"/>
      <c r="E25" s="14"/>
      <c r="J25" s="15"/>
      <c r="K25" s="12"/>
      <c r="L25" s="7"/>
      <c r="M25" s="20"/>
    </row>
    <row r="26" spans="1:13" ht="12.75" customHeight="1" x14ac:dyDescent="0.2">
      <c r="B26" s="4"/>
      <c r="C26" s="24"/>
      <c r="D26" s="41" t="s">
        <v>18</v>
      </c>
      <c r="E26" s="42"/>
      <c r="F26" s="12"/>
      <c r="J26" s="15"/>
      <c r="K26" s="12"/>
      <c r="L26" s="15"/>
      <c r="M26" s="12"/>
    </row>
    <row r="27" spans="1:13" ht="409.5" customHeight="1" x14ac:dyDescent="0.2">
      <c r="A27" s="5"/>
      <c r="B27" s="6"/>
      <c r="C27" s="7"/>
      <c r="D27" s="35"/>
      <c r="E27" s="37"/>
      <c r="F27" s="12"/>
      <c r="J27" s="15"/>
      <c r="K27" s="12"/>
      <c r="L27" s="15"/>
      <c r="M27" s="12"/>
    </row>
    <row r="28" spans="1:13" ht="12.75" customHeight="1" x14ac:dyDescent="0.2">
      <c r="A28" s="24"/>
      <c r="B28" s="9"/>
      <c r="D28" s="13"/>
      <c r="E28" s="14"/>
      <c r="J28" s="15"/>
      <c r="K28" s="12"/>
      <c r="L28" s="15"/>
      <c r="M28" s="12"/>
    </row>
    <row r="29" spans="1:13" x14ac:dyDescent="0.2">
      <c r="A29" s="41" t="s">
        <v>33</v>
      </c>
      <c r="B29" s="42"/>
      <c r="C29" s="25"/>
      <c r="D29" s="43" t="s">
        <v>15</v>
      </c>
      <c r="E29" s="44"/>
      <c r="F29" s="9"/>
      <c r="G29" s="22"/>
      <c r="H29" s="22"/>
      <c r="I29" s="22"/>
      <c r="J29" s="10"/>
      <c r="K29" s="12"/>
      <c r="L29" s="15"/>
      <c r="M29" s="12"/>
    </row>
    <row r="30" spans="1:13" ht="322.5" customHeight="1" x14ac:dyDescent="0.2">
      <c r="A30" s="35"/>
      <c r="B30" s="37"/>
      <c r="C30" s="25"/>
      <c r="D30" s="35"/>
      <c r="E30" s="37"/>
      <c r="F30" s="20"/>
      <c r="G30" s="21"/>
      <c r="H30" s="21"/>
      <c r="I30" s="21"/>
      <c r="J30" s="21"/>
      <c r="L30" s="15"/>
      <c r="M30" s="12"/>
    </row>
    <row r="31" spans="1:13" x14ac:dyDescent="0.2">
      <c r="A31" s="13"/>
      <c r="B31" s="14"/>
      <c r="D31" s="13"/>
      <c r="E31" s="14"/>
      <c r="L31" s="10"/>
      <c r="M31" s="8"/>
    </row>
    <row r="32" spans="1:13" x14ac:dyDescent="0.2">
      <c r="A32" s="43" t="s">
        <v>12</v>
      </c>
      <c r="B32" s="44"/>
      <c r="C32" s="17" t="s">
        <v>32</v>
      </c>
      <c r="D32" s="43" t="s">
        <v>12</v>
      </c>
      <c r="E32" s="44"/>
      <c r="F32" s="38" t="s">
        <v>31</v>
      </c>
      <c r="G32" s="39"/>
      <c r="H32" s="39"/>
      <c r="I32" s="39"/>
      <c r="J32" s="39"/>
      <c r="K32" s="40"/>
      <c r="L32" s="43" t="s">
        <v>12</v>
      </c>
      <c r="M32" s="44"/>
    </row>
    <row r="33" spans="1:13" ht="409.5" customHeight="1" x14ac:dyDescent="0.2">
      <c r="A33" s="45"/>
      <c r="B33" s="36"/>
      <c r="C33" s="17"/>
      <c r="D33" s="35"/>
      <c r="E33" s="37"/>
      <c r="F33" s="38"/>
      <c r="G33" s="39"/>
      <c r="H33" s="39"/>
      <c r="I33" s="39"/>
      <c r="J33" s="39"/>
      <c r="K33" s="40"/>
      <c r="L33" s="35"/>
      <c r="M33" s="36"/>
    </row>
    <row r="34" spans="1:13" x14ac:dyDescent="0.2">
      <c r="A34" s="21"/>
      <c r="B34" s="21"/>
      <c r="D34" s="13"/>
      <c r="E34" s="14"/>
      <c r="L34" s="21"/>
      <c r="M34" s="21"/>
    </row>
    <row r="35" spans="1:13" x14ac:dyDescent="0.2">
      <c r="C35" s="5"/>
      <c r="D35" s="41" t="s">
        <v>20</v>
      </c>
      <c r="E35" s="42"/>
      <c r="F35" s="12"/>
    </row>
    <row r="36" spans="1:13" ht="213.75" customHeight="1" x14ac:dyDescent="0.2">
      <c r="C36" s="5"/>
      <c r="D36" s="35"/>
      <c r="E36" s="37"/>
      <c r="F36" s="12"/>
    </row>
    <row r="38" spans="1:13" ht="15.75" customHeight="1" x14ac:dyDescent="0.2">
      <c r="E38" s="26"/>
      <c r="F38" s="26"/>
      <c r="H38" s="35"/>
      <c r="I38" s="36"/>
    </row>
    <row r="91" ht="0.75" customHeight="1" x14ac:dyDescent="0.2"/>
  </sheetData>
  <mergeCells count="41">
    <mergeCell ref="D9:E9"/>
    <mergeCell ref="D2:E2"/>
    <mergeCell ref="D3:E3"/>
    <mergeCell ref="D5:E5"/>
    <mergeCell ref="D6:E6"/>
    <mergeCell ref="D8:E8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L23:M23"/>
    <mergeCell ref="D24:E24"/>
    <mergeCell ref="L24:M24"/>
    <mergeCell ref="D26:E26"/>
    <mergeCell ref="D35:E35"/>
    <mergeCell ref="L32:M32"/>
    <mergeCell ref="L33:M33"/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2A5-2734-4A80-B355-23ECE7ADE458}">
  <dimension ref="A1"/>
  <sheetViews>
    <sheetView workbookViewId="0">
      <selection activeCell="B2" sqref="B2"/>
    </sheetView>
  </sheetViews>
  <sheetFormatPr defaultRowHeight="12.75" x14ac:dyDescent="0.2"/>
  <cols>
    <col min="1" max="4" width="11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generation</vt:lpstr>
      <vt:lpstr>Map of Assignment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Robert Sheehy</cp:lastModifiedBy>
  <dcterms:created xsi:type="dcterms:W3CDTF">2011-10-19T09:55:01Z</dcterms:created>
  <dcterms:modified xsi:type="dcterms:W3CDTF">2025-10-08T11:20:47Z</dcterms:modified>
</cp:coreProperties>
</file>