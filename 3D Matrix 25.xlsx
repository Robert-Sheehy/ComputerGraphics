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0036625\Desktop\CG25\"/>
    </mc:Choice>
  </mc:AlternateContent>
  <xr:revisionPtr revIDLastSave="0" documentId="8_{9BA536C8-2585-444C-B965-28BAF965BF85}" xr6:coauthVersionLast="47" xr6:coauthVersionMax="47" xr10:uidLastSave="{00000000-0000-0000-0000-000000000000}"/>
  <bookViews>
    <workbookView xWindow="-120" yWindow="-120" windowWidth="29040" windowHeight="15720" xr2:uid="{E64471B8-FF56-4357-99CE-116037B9F2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15" i="1"/>
  <c r="AD12" i="1"/>
  <c r="P16" i="1"/>
  <c r="O15" i="1"/>
  <c r="N14" i="1"/>
  <c r="F14" i="1"/>
  <c r="W15" i="1" l="1"/>
  <c r="V15" i="1"/>
  <c r="W14" i="1"/>
  <c r="V14" i="1"/>
  <c r="C22" i="1" l="1" a="1"/>
  <c r="C22" i="1" l="1"/>
  <c r="K22" i="1" s="1" a="1"/>
  <c r="K22" i="1" l="1"/>
  <c r="C29" i="1" s="1" a="1"/>
  <c r="C29" i="1" l="1"/>
  <c r="C35" i="1" s="1"/>
  <c r="C40" i="1" s="1"/>
  <c r="E38" i="1"/>
  <c r="F38" i="1"/>
  <c r="G38" i="1"/>
  <c r="H38" i="1"/>
  <c r="J38" i="1"/>
  <c r="D37" i="1"/>
  <c r="F37" i="1"/>
  <c r="H37" i="1"/>
  <c r="I37" i="1"/>
  <c r="D36" i="1"/>
  <c r="D41" i="1" s="1"/>
  <c r="F36" i="1"/>
  <c r="D43" i="1" s="1"/>
  <c r="H36" i="1"/>
  <c r="D45" i="1" s="1"/>
  <c r="I36" i="1"/>
  <c r="D46" i="1" s="1"/>
  <c r="D35" i="1"/>
  <c r="C41" i="1" s="1"/>
  <c r="F35" i="1"/>
  <c r="C43" i="1" s="1"/>
  <c r="H35" i="1"/>
  <c r="C45" i="1" s="1"/>
  <c r="C36" i="1"/>
  <c r="D40" i="1" s="1"/>
  <c r="D38" i="1"/>
  <c r="I38" i="1"/>
  <c r="C38" i="1"/>
  <c r="E37" i="1"/>
  <c r="G37" i="1"/>
  <c r="J37" i="1"/>
  <c r="E36" i="1"/>
  <c r="D42" i="1" s="1"/>
  <c r="G36" i="1"/>
  <c r="D44" i="1" s="1"/>
  <c r="J36" i="1"/>
  <c r="D47" i="1" s="1"/>
  <c r="E35" i="1"/>
  <c r="C42" i="1" s="1"/>
  <c r="G35" i="1"/>
  <c r="C44" i="1" s="1"/>
  <c r="I35" i="1"/>
  <c r="C46" i="1" s="1"/>
  <c r="J35" i="1"/>
  <c r="C47" i="1" s="1"/>
  <c r="C3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<sst xmlns="http://schemas.openxmlformats.org/spreadsheetml/2006/main" count="21" uniqueCount="21">
  <si>
    <t>Model</t>
  </si>
  <si>
    <t>translation</t>
  </si>
  <si>
    <t>Ox</t>
  </si>
  <si>
    <t>Oy</t>
  </si>
  <si>
    <t>Oz</t>
  </si>
  <si>
    <t>Scale</t>
  </si>
  <si>
    <t>Lx</t>
  </si>
  <si>
    <t>Ly</t>
  </si>
  <si>
    <t>Lz</t>
  </si>
  <si>
    <t>Angle(DEG)</t>
  </si>
  <si>
    <t>Rot * Trs</t>
  </si>
  <si>
    <t>(Rot * trans) * scal</t>
  </si>
  <si>
    <t>= SM</t>
  </si>
  <si>
    <t>Image of Cube</t>
  </si>
  <si>
    <t>x</t>
  </si>
  <si>
    <t>y</t>
  </si>
  <si>
    <t>z</t>
  </si>
  <si>
    <t>w</t>
  </si>
  <si>
    <t xml:space="preserve"> </t>
  </si>
  <si>
    <t>Project</t>
  </si>
  <si>
    <t>RotZ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</si>
</sst>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Sheet1!$C$40:$C$47</c:f>
              <c:numCache>
                <c:formatCode>General</c:formatCode>
                <c:ptCount val="8"/>
                <c:pt idx="0">
                  <c:v>-3</c:v>
                </c:pt>
                <c:pt idx="1">
                  <c:v>-3</c:v>
                </c:pt>
                <c:pt idx="2">
                  <c:v>3</c:v>
                </c:pt>
                <c:pt idx="3">
                  <c:v>3</c:v>
                </c:pt>
                <c:pt idx="4">
                  <c:v>-1</c:v>
                </c:pt>
                <c:pt idx="5">
                  <c:v>-1</c:v>
                </c:pt>
                <c:pt idx="6">
                  <c:v>1</c:v>
                </c:pt>
                <c:pt idx="7">
                  <c:v>1</c:v>
                </c:pt>
              </c:numCache>
            </c:numRef>
          </c:xVal>
          <c:yVal>
            <c:numRef>
              <c:f>Sheet1!$D$40:$D$47</c:f>
              <c:numCache>
                <c:formatCode>General</c:formatCode>
                <c:ptCount val="8"/>
                <c:pt idx="0">
                  <c:v>0.99999999999999978</c:v>
                </c:pt>
                <c:pt idx="1">
                  <c:v>-1.0000000000000002</c:v>
                </c:pt>
                <c:pt idx="2">
                  <c:v>-0.99999999999999978</c:v>
                </c:pt>
                <c:pt idx="3">
                  <c:v>1.0000000000000002</c:v>
                </c:pt>
                <c:pt idx="4">
                  <c:v>0.33333333333333326</c:v>
                </c:pt>
                <c:pt idx="5">
                  <c:v>-0.33333333333333343</c:v>
                </c:pt>
                <c:pt idx="6">
                  <c:v>-0.33333333333333326</c:v>
                </c:pt>
                <c:pt idx="7">
                  <c:v>0.33333333333333343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26-469B-9807-2EEB36CCE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455487"/>
        <c:axId val="317456447"/>
      </c:scatterChart>
      <c:valAx>
        <c:axId val="317455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456447"/>
        <c:crosses val="autoZero"/>
        <c:crossBetween val="midCat"/>
      </c:valAx>
      <c:valAx>
        <c:axId val="31745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455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403560</xdr:colOff>
      <xdr:row>12</xdr:row>
      <xdr:rowOff>57147</xdr:rowOff>
    </xdr:from>
    <xdr:to>
      <xdr:col>20</xdr:col>
      <xdr:colOff>127836</xdr:colOff>
      <xdr:row>26</xdr:row>
      <xdr:rowOff>93242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F2BE4B-4C43-F635-97C5-55CB366BDD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52FD-EAEE-4445-9D56-A6396D700C1A}">
  <dimension ref="A1:AD47"/>
  <sheetViews>
    <sheetView tabSelected="1" topLeftCell="A10" zoomScale="190" zoomScaleNormal="190" workbookViewId="0">
      <selection activeCell="Y12" sqref="Y12"/>
    </sheetView>
  </sheetViews>
  <sheetFormatPr defaultColWidth="2.85546875" defaultRowHeight="15" x14ac:dyDescent="0.25"/>
  <cols>
    <col min="3" max="3" width="7.42578125" bestFit="1" customWidth="1"/>
    <col min="4" max="4" width="4" bestFit="1" customWidth="1"/>
    <col min="5" max="5" width="8.140625" bestFit="1" customWidth="1"/>
    <col min="6" max="6" width="13.140625" bestFit="1" customWidth="1"/>
    <col min="7" max="10" width="12.42578125" bestFit="1" customWidth="1"/>
    <col min="11" max="11" width="17.5703125" bestFit="1" customWidth="1"/>
    <col min="12" max="12" width="13.140625" bestFit="1" customWidth="1"/>
    <col min="13" max="14" width="12.42578125" bestFit="1" customWidth="1"/>
    <col min="23" max="23" width="13.140625" bestFit="1" customWidth="1"/>
    <col min="24" max="24" width="12.42578125" bestFit="1" customWidth="1"/>
    <col min="25" max="25" width="4" bestFit="1" customWidth="1"/>
    <col min="30" max="30" width="12.42578125" bestFit="1" customWidth="1"/>
  </cols>
  <sheetData>
    <row r="1" spans="1:30" x14ac:dyDescent="0.25">
      <c r="A1" t="s">
        <v>0</v>
      </c>
    </row>
    <row r="2" spans="1:30" x14ac:dyDescent="0.25">
      <c r="A2" t="s">
        <v>14</v>
      </c>
      <c r="B2">
        <v>-1</v>
      </c>
      <c r="C2">
        <v>1</v>
      </c>
      <c r="D2">
        <v>1</v>
      </c>
      <c r="E2">
        <v>-1</v>
      </c>
      <c r="F2">
        <v>-1</v>
      </c>
      <c r="G2">
        <v>1</v>
      </c>
      <c r="H2">
        <v>1</v>
      </c>
      <c r="I2">
        <v>-1</v>
      </c>
    </row>
    <row r="3" spans="1:30" x14ac:dyDescent="0.25">
      <c r="A3" t="s">
        <v>15</v>
      </c>
      <c r="B3">
        <v>-1</v>
      </c>
      <c r="C3">
        <v>-1</v>
      </c>
      <c r="D3">
        <v>1</v>
      </c>
      <c r="E3">
        <v>1</v>
      </c>
      <c r="F3">
        <v>-1</v>
      </c>
      <c r="G3">
        <v>-1</v>
      </c>
      <c r="H3">
        <v>1</v>
      </c>
      <c r="I3">
        <v>1</v>
      </c>
    </row>
    <row r="4" spans="1:30" x14ac:dyDescent="0.25">
      <c r="A4" t="s">
        <v>16</v>
      </c>
      <c r="B4">
        <v>-1</v>
      </c>
      <c r="C4">
        <v>-1</v>
      </c>
      <c r="D4">
        <v>-1</v>
      </c>
      <c r="E4">
        <v>-1</v>
      </c>
      <c r="F4">
        <v>1</v>
      </c>
      <c r="G4">
        <v>1</v>
      </c>
      <c r="H4">
        <v>1</v>
      </c>
      <c r="I4">
        <v>1</v>
      </c>
    </row>
    <row r="5" spans="1:30" x14ac:dyDescent="0.25">
      <c r="A5" t="s">
        <v>17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</row>
    <row r="11" spans="1:30" x14ac:dyDescent="0.25">
      <c r="F11" t="s">
        <v>2</v>
      </c>
      <c r="G11" t="s">
        <v>3</v>
      </c>
      <c r="H11" t="s">
        <v>4</v>
      </c>
      <c r="P11" t="s">
        <v>6</v>
      </c>
      <c r="Q11" t="s">
        <v>7</v>
      </c>
      <c r="R11" t="s">
        <v>8</v>
      </c>
      <c r="Y11" t="s">
        <v>9</v>
      </c>
    </row>
    <row r="12" spans="1:30" x14ac:dyDescent="0.25">
      <c r="A12" t="s">
        <v>1</v>
      </c>
      <c r="F12">
        <v>0</v>
      </c>
      <c r="G12">
        <v>0</v>
      </c>
      <c r="H12">
        <v>2</v>
      </c>
      <c r="M12" t="s">
        <v>5</v>
      </c>
      <c r="P12">
        <v>1</v>
      </c>
      <c r="Q12">
        <v>3</v>
      </c>
      <c r="R12">
        <v>1</v>
      </c>
      <c r="V12" t="s">
        <v>20</v>
      </c>
      <c r="Y12">
        <v>90</v>
      </c>
      <c r="AD12">
        <f>RADIANS(Y12)</f>
        <v>1.5707963267948966</v>
      </c>
    </row>
    <row r="13" spans="1:30" ht="15.75" thickBot="1" x14ac:dyDescent="0.3">
      <c r="Y13">
        <v>90</v>
      </c>
    </row>
    <row r="14" spans="1:30" ht="15.75" thickTop="1" x14ac:dyDescent="0.25">
      <c r="C14" s="1">
        <v>1</v>
      </c>
      <c r="D14">
        <v>0</v>
      </c>
      <c r="E14">
        <v>0</v>
      </c>
      <c r="F14" s="4">
        <f>F12</f>
        <v>0</v>
      </c>
      <c r="N14" s="1">
        <f>P12</f>
        <v>1</v>
      </c>
      <c r="O14">
        <v>0</v>
      </c>
      <c r="P14">
        <v>0</v>
      </c>
      <c r="Q14" s="4">
        <v>0</v>
      </c>
      <c r="V14" s="1">
        <f>COS(AD12)</f>
        <v>6.1257422745431001E-17</v>
      </c>
      <c r="W14">
        <f>SIN(AD12)</f>
        <v>1</v>
      </c>
      <c r="X14">
        <v>0</v>
      </c>
      <c r="Y14" s="4">
        <v>0</v>
      </c>
    </row>
    <row r="15" spans="1:30" x14ac:dyDescent="0.25">
      <c r="C15" s="2">
        <v>0</v>
      </c>
      <c r="D15">
        <v>1</v>
      </c>
      <c r="E15">
        <v>0</v>
      </c>
      <c r="F15" s="5">
        <f>G12</f>
        <v>0</v>
      </c>
      <c r="N15" s="2">
        <v>0</v>
      </c>
      <c r="O15">
        <f>Q12</f>
        <v>3</v>
      </c>
      <c r="P15">
        <v>0</v>
      </c>
      <c r="Q15" s="5">
        <v>0</v>
      </c>
      <c r="V15" s="2">
        <f>-SIN(AD12)</f>
        <v>-1</v>
      </c>
      <c r="W15">
        <f>COS(AD12)</f>
        <v>6.1257422745431001E-17</v>
      </c>
      <c r="X15">
        <v>0</v>
      </c>
      <c r="Y15" s="5">
        <v>0</v>
      </c>
    </row>
    <row r="16" spans="1:30" x14ac:dyDescent="0.25">
      <c r="C16" s="2">
        <v>0</v>
      </c>
      <c r="D16">
        <v>0</v>
      </c>
      <c r="E16">
        <v>1</v>
      </c>
      <c r="F16" s="5">
        <f>H12</f>
        <v>2</v>
      </c>
      <c r="N16" s="2">
        <v>0</v>
      </c>
      <c r="O16">
        <v>0</v>
      </c>
      <c r="P16">
        <f>R12</f>
        <v>1</v>
      </c>
      <c r="Q16" s="5">
        <v>0</v>
      </c>
      <c r="V16" s="2">
        <v>0</v>
      </c>
      <c r="W16">
        <v>0</v>
      </c>
      <c r="X16">
        <v>1</v>
      </c>
      <c r="Y16" s="5">
        <v>0</v>
      </c>
    </row>
    <row r="17" spans="3:25" ht="15.75" thickBot="1" x14ac:dyDescent="0.3">
      <c r="C17" s="3">
        <v>0</v>
      </c>
      <c r="D17">
        <v>0</v>
      </c>
      <c r="E17">
        <v>0</v>
      </c>
      <c r="F17" s="6">
        <v>1</v>
      </c>
      <c r="N17" s="3">
        <v>0</v>
      </c>
      <c r="O17">
        <v>0</v>
      </c>
      <c r="P17">
        <v>0</v>
      </c>
      <c r="Q17" s="6">
        <v>1</v>
      </c>
      <c r="V17" s="3">
        <v>0</v>
      </c>
      <c r="W17">
        <v>0</v>
      </c>
      <c r="X17">
        <v>0</v>
      </c>
      <c r="Y17" s="6">
        <v>1</v>
      </c>
    </row>
    <row r="18" spans="3:25" ht="15.75" thickTop="1" x14ac:dyDescent="0.25"/>
    <row r="20" spans="3:25" x14ac:dyDescent="0.25">
      <c r="C20" t="s">
        <v>10</v>
      </c>
      <c r="K20" t="s">
        <v>11</v>
      </c>
      <c r="L20" s="7" t="s">
        <v>12</v>
      </c>
    </row>
    <row r="22" spans="3:25" x14ac:dyDescent="0.25">
      <c r="C22" cm="1">
        <f t="array" ref="C22:F25">MMULT(V14:Y17,C14:F17)</f>
        <v>6.1257422745431001E-17</v>
      </c>
      <c r="D22">
        <v>1</v>
      </c>
      <c r="E22">
        <v>0</v>
      </c>
      <c r="F22">
        <v>0</v>
      </c>
      <c r="K22" cm="1">
        <f t="array" ref="K22:N25">MMULT(_xlfn.ANCHORARRAY(C22),N14:Q17)</f>
        <v>6.1257422745431001E-17</v>
      </c>
      <c r="L22">
        <v>3</v>
      </c>
      <c r="M22">
        <v>0</v>
      </c>
      <c r="N22">
        <v>0</v>
      </c>
    </row>
    <row r="23" spans="3:25" x14ac:dyDescent="0.25">
      <c r="C23">
        <v>-1</v>
      </c>
      <c r="D23">
        <v>6.1257422745431001E-17</v>
      </c>
      <c r="E23">
        <v>0</v>
      </c>
      <c r="F23">
        <v>0</v>
      </c>
      <c r="K23">
        <v>-1</v>
      </c>
      <c r="L23">
        <v>1.83772268236293E-16</v>
      </c>
      <c r="M23">
        <v>0</v>
      </c>
      <c r="N23">
        <v>0</v>
      </c>
    </row>
    <row r="24" spans="3:25" x14ac:dyDescent="0.25">
      <c r="C24">
        <v>0</v>
      </c>
      <c r="D24">
        <v>0</v>
      </c>
      <c r="E24">
        <v>1</v>
      </c>
      <c r="F24">
        <v>2</v>
      </c>
      <c r="K24">
        <v>0</v>
      </c>
      <c r="L24">
        <v>0</v>
      </c>
      <c r="M24">
        <v>1</v>
      </c>
      <c r="N24">
        <v>2</v>
      </c>
    </row>
    <row r="25" spans="3:25" x14ac:dyDescent="0.25">
      <c r="C25">
        <v>0</v>
      </c>
      <c r="D25">
        <v>0</v>
      </c>
      <c r="E25">
        <v>0</v>
      </c>
      <c r="F25">
        <v>1</v>
      </c>
      <c r="K25">
        <v>0</v>
      </c>
      <c r="L25">
        <v>0</v>
      </c>
      <c r="M25">
        <v>0</v>
      </c>
      <c r="N25">
        <v>1</v>
      </c>
    </row>
    <row r="27" spans="3:25" x14ac:dyDescent="0.25">
      <c r="C27" t="s">
        <v>13</v>
      </c>
    </row>
    <row r="29" spans="3:25" x14ac:dyDescent="0.25">
      <c r="C29" cm="1">
        <f t="array" ref="C29:J32">MMULT(_xlfn.ANCHORARRAY(K22),B2:I5)</f>
        <v>-3</v>
      </c>
      <c r="D29">
        <v>-3</v>
      </c>
      <c r="E29">
        <v>3</v>
      </c>
      <c r="F29">
        <v>3</v>
      </c>
      <c r="G29">
        <v>-3</v>
      </c>
      <c r="H29">
        <v>-3</v>
      </c>
      <c r="I29">
        <v>3</v>
      </c>
      <c r="J29">
        <v>3</v>
      </c>
    </row>
    <row r="30" spans="3:25" x14ac:dyDescent="0.25">
      <c r="C30">
        <v>0.99999999999999978</v>
      </c>
      <c r="D30">
        <v>-1.0000000000000002</v>
      </c>
      <c r="E30">
        <v>-0.99999999999999978</v>
      </c>
      <c r="F30">
        <v>1.0000000000000002</v>
      </c>
      <c r="G30">
        <v>0.99999999999999978</v>
      </c>
      <c r="H30">
        <v>-1.0000000000000002</v>
      </c>
      <c r="I30">
        <v>-0.99999999999999978</v>
      </c>
      <c r="J30">
        <v>1.0000000000000002</v>
      </c>
    </row>
    <row r="31" spans="3:25" x14ac:dyDescent="0.25">
      <c r="C31">
        <v>1</v>
      </c>
      <c r="D31">
        <v>1</v>
      </c>
      <c r="E31">
        <v>1</v>
      </c>
      <c r="F31">
        <v>1</v>
      </c>
      <c r="G31">
        <v>3</v>
      </c>
      <c r="H31">
        <v>3</v>
      </c>
      <c r="I31">
        <v>3</v>
      </c>
      <c r="J31">
        <v>3</v>
      </c>
    </row>
    <row r="32" spans="3:25" x14ac:dyDescent="0.25"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</row>
    <row r="33" spans="3:10" x14ac:dyDescent="0.25">
      <c r="C33" t="s">
        <v>18</v>
      </c>
    </row>
    <row r="34" spans="3:10" x14ac:dyDescent="0.25">
      <c r="C34" t="s">
        <v>19</v>
      </c>
    </row>
    <row r="35" spans="3:10" x14ac:dyDescent="0.25">
      <c r="C35">
        <f>C29/C31</f>
        <v>-3</v>
      </c>
      <c r="D35">
        <f t="shared" ref="D35:J35" si="0">D29/D31</f>
        <v>-3</v>
      </c>
      <c r="E35">
        <f t="shared" si="0"/>
        <v>3</v>
      </c>
      <c r="F35">
        <f t="shared" si="0"/>
        <v>3</v>
      </c>
      <c r="G35">
        <f t="shared" si="0"/>
        <v>-1</v>
      </c>
      <c r="H35">
        <f t="shared" si="0"/>
        <v>-1</v>
      </c>
      <c r="I35">
        <f t="shared" si="0"/>
        <v>1</v>
      </c>
      <c r="J35">
        <f t="shared" si="0"/>
        <v>1</v>
      </c>
    </row>
    <row r="36" spans="3:10" x14ac:dyDescent="0.25">
      <c r="C36">
        <f>C30/C31</f>
        <v>0.99999999999999978</v>
      </c>
      <c r="D36">
        <f t="shared" ref="D36:J36" si="1">D30/D31</f>
        <v>-1.0000000000000002</v>
      </c>
      <c r="E36">
        <f t="shared" si="1"/>
        <v>-0.99999999999999978</v>
      </c>
      <c r="F36">
        <f t="shared" si="1"/>
        <v>1.0000000000000002</v>
      </c>
      <c r="G36">
        <f t="shared" si="1"/>
        <v>0.33333333333333326</v>
      </c>
      <c r="H36">
        <f t="shared" si="1"/>
        <v>-0.33333333333333343</v>
      </c>
      <c r="I36">
        <f t="shared" si="1"/>
        <v>-0.33333333333333326</v>
      </c>
      <c r="J36">
        <f t="shared" si="1"/>
        <v>0.33333333333333343</v>
      </c>
    </row>
    <row r="37" spans="3:10" x14ac:dyDescent="0.25">
      <c r="C37">
        <f>C31/C31</f>
        <v>1</v>
      </c>
      <c r="D37">
        <f t="shared" ref="D37:J37" si="2">D31/D31</f>
        <v>1</v>
      </c>
      <c r="E37">
        <f t="shared" si="2"/>
        <v>1</v>
      </c>
      <c r="F37">
        <f t="shared" si="2"/>
        <v>1</v>
      </c>
      <c r="G37">
        <f t="shared" si="2"/>
        <v>1</v>
      </c>
      <c r="H37">
        <f t="shared" si="2"/>
        <v>1</v>
      </c>
      <c r="I37">
        <f t="shared" si="2"/>
        <v>1</v>
      </c>
      <c r="J37">
        <f t="shared" si="2"/>
        <v>1</v>
      </c>
    </row>
    <row r="38" spans="3:10" x14ac:dyDescent="0.25">
      <c r="C38">
        <f>C32</f>
        <v>1</v>
      </c>
      <c r="D38">
        <f t="shared" ref="D38:J38" si="3">D32</f>
        <v>1</v>
      </c>
      <c r="E38">
        <f t="shared" si="3"/>
        <v>1</v>
      </c>
      <c r="F38">
        <f t="shared" si="3"/>
        <v>1</v>
      </c>
      <c r="G38">
        <f t="shared" si="3"/>
        <v>1</v>
      </c>
      <c r="H38">
        <f t="shared" si="3"/>
        <v>1</v>
      </c>
      <c r="I38">
        <f t="shared" si="3"/>
        <v>1</v>
      </c>
      <c r="J38">
        <f t="shared" si="3"/>
        <v>1</v>
      </c>
    </row>
    <row r="40" spans="3:10" x14ac:dyDescent="0.25">
      <c r="C40">
        <f>C35</f>
        <v>-3</v>
      </c>
      <c r="D40">
        <f>C36</f>
        <v>0.99999999999999978</v>
      </c>
    </row>
    <row r="41" spans="3:10" x14ac:dyDescent="0.25">
      <c r="C41">
        <f>D35</f>
        <v>-3</v>
      </c>
      <c r="D41">
        <f>D36</f>
        <v>-1.0000000000000002</v>
      </c>
    </row>
    <row r="42" spans="3:10" x14ac:dyDescent="0.25">
      <c r="C42">
        <f>E35</f>
        <v>3</v>
      </c>
      <c r="D42">
        <f>E36</f>
        <v>-0.99999999999999978</v>
      </c>
    </row>
    <row r="43" spans="3:10" x14ac:dyDescent="0.25">
      <c r="C43">
        <f>F35</f>
        <v>3</v>
      </c>
      <c r="D43">
        <f>F36</f>
        <v>1.0000000000000002</v>
      </c>
    </row>
    <row r="44" spans="3:10" x14ac:dyDescent="0.25">
      <c r="C44">
        <f>G35</f>
        <v>-1</v>
      </c>
      <c r="D44">
        <f>G36</f>
        <v>0.33333333333333326</v>
      </c>
    </row>
    <row r="45" spans="3:10" x14ac:dyDescent="0.25">
      <c r="C45">
        <f>H35</f>
        <v>-1</v>
      </c>
      <c r="D45">
        <f>H36</f>
        <v>-0.33333333333333343</v>
      </c>
    </row>
    <row r="46" spans="3:10" x14ac:dyDescent="0.25">
      <c r="C46">
        <f>I35</f>
        <v>1</v>
      </c>
      <c r="D46">
        <f>I36</f>
        <v>-0.33333333333333326</v>
      </c>
    </row>
    <row r="47" spans="3:10" x14ac:dyDescent="0.25">
      <c r="C47">
        <f>J35</f>
        <v>1</v>
      </c>
      <c r="D47">
        <f>J36</f>
        <v>0.33333333333333343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Sheehy</dc:creator>
  <cp:lastModifiedBy>Robert Sheehy</cp:lastModifiedBy>
  <dcterms:created xsi:type="dcterms:W3CDTF">2025-10-15T10:45:38Z</dcterms:created>
  <dcterms:modified xsi:type="dcterms:W3CDTF">2025-10-15T11:37:33Z</dcterms:modified>
</cp:coreProperties>
</file>